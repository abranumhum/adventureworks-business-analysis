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Data" sheetId="1" state="visible" r:id="rId1"/>
    <sheet name="Category Summary" sheetId="2" state="visible" r:id="rId2"/>
    <sheet name="Margin by Subcategory" sheetId="3" state="visible" r:id="rId3"/>
    <sheet name="Customer Segments" sheetId="4" state="visible" r:id="rId4"/>
    <sheet name="KPI Dashboard" sheetId="5" state="visible" r:id="rId5"/>
  </sheets>
  <definedNames>
    <definedName name="_xlnm._FilterDatabase" localSheetId="0" hidden="1">'Monthly Data'!$A$1:$I$39</definedName>
    <definedName name="_xlnm._FilterDatabase" localSheetId="1" hidden="1">'Category Summary'!$A$1:$F$66</definedName>
    <definedName name="_xlnm._FilterDatabase" localSheetId="2" hidden="1">'Margin by Subcategory'!$A$1:$H$18</definedName>
    <definedName name="_xlnm._FilterDatabase" localSheetId="3" hidden="1">'Customer Segments'!$A$1:$G$8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"/>
    <numFmt numFmtId="167" formatCode="$#,##0"/>
    <numFmt numFmtId="168" formatCode="0.0%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2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/>
    </xf>
    <xf numFmtId="0" fontId="1" fillId="4" borderId="0" pivotButton="0" quotePrefix="0" xfId="0"/>
    <xf numFmtId="165" fontId="4" fillId="0" borderId="0" pivotButton="0" quotePrefix="0" xfId="0"/>
    <xf numFmtId="3" fontId="4" fillId="0" borderId="0" pivotButton="0" quotePrefix="0" xfId="0"/>
    <xf numFmtId="168" fontId="4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'KPI Dashboard'!B12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 Dashboard'!$A$13:$A$17</f>
            </numRef>
          </cat>
          <val>
            <numRef>
              <f>'KPI Dashboard'!$B$13:$B$17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Historical Revenue by Customer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'Customer Segments'!C1</f>
            </strRef>
          </tx>
          <spPr>
            <a:ln>
              <a:prstDash val="solid"/>
            </a:ln>
          </spPr>
          <cat>
            <numRef>
              <f>'Customer Segments'!$A$2:$A$8</f>
            </numRef>
          </cat>
          <val>
            <numRef>
              <f>'Customer Segments'!$C$2:$C$8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_data" displayName="monthly_data" ref="A1:I39" headerRowCount="1">
  <autoFilter ref="A1:I39"/>
  <tableColumns count="9">
    <tableColumn id="1" name="month_name"/>
    <tableColumn id="2" name="month"/>
    <tableColumn id="3" name="year"/>
    <tableColumn id="4" name="quarter"/>
    <tableColumn id="5" name="revenue"/>
    <tableColumn id="6" name="total_cost"/>
    <tableColumn id="7" name="gross_profit"/>
    <tableColumn id="8" name="units_sold"/>
    <tableColumn id="9" name="n_ord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_summary" displayName="category_summary" ref="A1:F66" headerRowCount="1">
  <autoFilter ref="A1:F66"/>
  <tableColumns count="6">
    <tableColumn id="1" name="category"/>
    <tableColumn id="2" name="year"/>
    <tableColumn id="3" name="month"/>
    <tableColumn id="4" name="revenue"/>
    <tableColumn id="5" name="units"/>
    <tableColumn id="6" name="margin_pct"/>
  </tableColumns>
  <tableStyleInfo name="TableStyleMedium2" showRowStripes="1"/>
</table>
</file>

<file path=xl/tables/table3.xml><?xml version="1.0" encoding="utf-8"?>
<table xmlns="http://schemas.openxmlformats.org/spreadsheetml/2006/main" id="3" name="margin_summary" displayName="margin_summary" ref="A1:H18" headerRowCount="1">
  <autoFilter ref="A1:H18"/>
  <tableColumns count="8">
    <tableColumn id="1" name="category"/>
    <tableColumn id="2" name="subcategory"/>
    <tableColumn id="3" name="n_products"/>
    <tableColumn id="4" name="revenue"/>
    <tableColumn id="5" name="total_cost"/>
    <tableColumn id="6" name="gross_profit"/>
    <tableColumn id="7" name="margin_pct"/>
    <tableColumn id="8" name="units_sold"/>
  </tableColumns>
  <tableStyleInfo name="TableStyleMedium2" showRowStripes="1"/>
</table>
</file>

<file path=xl/tables/table4.xml><?xml version="1.0" encoding="utf-8"?>
<table xmlns="http://schemas.openxmlformats.org/spreadsheetml/2006/main" id="4" name="customer_segments" displayName="customer_segments" ref="A1:G8" headerRowCount="1">
  <autoFilter ref="A1:G8"/>
  <tableColumns count="7">
    <tableColumn id="1" name="segment"/>
    <tableColumn id="2" name="customers"/>
    <tableColumn id="3" name="revenue"/>
    <tableColumn id="4" name="avg_customer_revenue"/>
    <tableColumn id="5" name="avg_orders"/>
    <tableColumn id="6" name="oldest_last_order"/>
    <tableColumn id="7" name="newest_last_ord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3" customWidth="1" min="5" max="5"/>
    <col width="14" customWidth="1" min="6" max="6"/>
    <col width="14" customWidth="1" min="7" max="7"/>
    <col width="12" customWidth="1" min="8" max="8"/>
    <col width="11" customWidth="1" min="9" max="9"/>
  </cols>
  <sheetData>
    <row r="1">
      <c r="A1" s="6" t="inlineStr">
        <is>
          <t>month_name</t>
        </is>
      </c>
      <c r="B1" s="6" t="inlineStr">
        <is>
          <t>month</t>
        </is>
      </c>
      <c r="C1" s="6" t="inlineStr">
        <is>
          <t>year</t>
        </is>
      </c>
      <c r="D1" s="6" t="inlineStr">
        <is>
          <t>quarter</t>
        </is>
      </c>
      <c r="E1" s="6" t="inlineStr">
        <is>
          <t>revenue</t>
        </is>
      </c>
      <c r="F1" s="6" t="inlineStr">
        <is>
          <t>total_cost</t>
        </is>
      </c>
      <c r="G1" s="6" t="inlineStr">
        <is>
          <t>gross_profit</t>
        </is>
      </c>
      <c r="H1" s="6" t="inlineStr">
        <is>
          <t>units_sold</t>
        </is>
      </c>
      <c r="I1" s="6" t="inlineStr">
        <is>
          <t>n_orders</t>
        </is>
      </c>
    </row>
    <row r="2">
      <c r="A2" t="inlineStr">
        <is>
          <t>December</t>
        </is>
      </c>
      <c r="B2" t="n">
        <v>12</v>
      </c>
      <c r="C2" t="n">
        <v>2010</v>
      </c>
      <c r="D2" t="n">
        <v>4</v>
      </c>
      <c r="E2" s="7" t="n">
        <v>43421.0364</v>
      </c>
      <c r="F2" s="7" t="n">
        <v>25572.064</v>
      </c>
      <c r="G2" s="7" t="n">
        <v>17848.9724</v>
      </c>
      <c r="H2" t="n">
        <v>14</v>
      </c>
      <c r="I2" t="n">
        <v>14</v>
      </c>
    </row>
    <row r="3">
      <c r="A3" t="inlineStr">
        <is>
          <t>January</t>
        </is>
      </c>
      <c r="B3" t="n">
        <v>1</v>
      </c>
      <c r="C3" t="n">
        <v>2011</v>
      </c>
      <c r="D3" t="n">
        <v>1</v>
      </c>
      <c r="E3" s="7" t="n">
        <v>469823.9148</v>
      </c>
      <c r="F3" s="7" t="n">
        <v>280872.7396</v>
      </c>
      <c r="G3" s="7" t="n">
        <v>188951.1752</v>
      </c>
      <c r="H3" t="n">
        <v>144</v>
      </c>
      <c r="I3" t="n">
        <v>144</v>
      </c>
    </row>
    <row r="4">
      <c r="A4" t="inlineStr">
        <is>
          <t>February</t>
        </is>
      </c>
      <c r="B4" t="n">
        <v>2</v>
      </c>
      <c r="C4" t="n">
        <v>2011</v>
      </c>
      <c r="D4" t="n">
        <v>1</v>
      </c>
      <c r="E4" s="7" t="n">
        <v>466334.903</v>
      </c>
      <c r="F4" s="7" t="n">
        <v>278294.9923</v>
      </c>
      <c r="G4" s="7" t="n">
        <v>188039.9107</v>
      </c>
      <c r="H4" t="n">
        <v>144</v>
      </c>
      <c r="I4" t="n">
        <v>144</v>
      </c>
    </row>
    <row r="5">
      <c r="A5" t="inlineStr">
        <is>
          <t>March</t>
        </is>
      </c>
      <c r="B5" t="n">
        <v>3</v>
      </c>
      <c r="C5" t="n">
        <v>2011</v>
      </c>
      <c r="D5" t="n">
        <v>1</v>
      </c>
      <c r="E5" s="7" t="n">
        <v>485198.6594</v>
      </c>
      <c r="F5" s="7" t="n">
        <v>292121.4185</v>
      </c>
      <c r="G5" s="7" t="n">
        <v>193077.2409</v>
      </c>
      <c r="H5" t="n">
        <v>150</v>
      </c>
      <c r="I5" t="n">
        <v>150</v>
      </c>
    </row>
    <row r="6">
      <c r="A6" t="inlineStr">
        <is>
          <t>April</t>
        </is>
      </c>
      <c r="B6" t="n">
        <v>4</v>
      </c>
      <c r="C6" t="n">
        <v>2011</v>
      </c>
      <c r="D6" t="n">
        <v>2</v>
      </c>
      <c r="E6" s="7" t="n">
        <v>502073.8458</v>
      </c>
      <c r="F6" s="7" t="n">
        <v>300539.8445</v>
      </c>
      <c r="G6" s="7" t="n">
        <v>201534.0013</v>
      </c>
      <c r="H6" t="n">
        <v>157</v>
      </c>
      <c r="I6" t="n">
        <v>157</v>
      </c>
    </row>
    <row r="7">
      <c r="A7" t="inlineStr">
        <is>
          <t>May</t>
        </is>
      </c>
      <c r="B7" t="n">
        <v>5</v>
      </c>
      <c r="C7" t="n">
        <v>2011</v>
      </c>
      <c r="D7" t="n">
        <v>2</v>
      </c>
      <c r="E7" s="7" t="n">
        <v>561681.4758</v>
      </c>
      <c r="F7" s="7" t="n">
        <v>335651.9273</v>
      </c>
      <c r="G7" s="7" t="n">
        <v>226029.5485</v>
      </c>
      <c r="H7" t="n">
        <v>174</v>
      </c>
      <c r="I7" t="n">
        <v>174</v>
      </c>
    </row>
    <row r="8">
      <c r="A8" t="inlineStr">
        <is>
          <t>June</t>
        </is>
      </c>
      <c r="B8" t="n">
        <v>6</v>
      </c>
      <c r="C8" t="n">
        <v>2011</v>
      </c>
      <c r="D8" t="n">
        <v>2</v>
      </c>
      <c r="E8" s="7" t="n">
        <v>737839.8214</v>
      </c>
      <c r="F8" s="7" t="n">
        <v>441714.8003</v>
      </c>
      <c r="G8" s="7" t="n">
        <v>296125.0211</v>
      </c>
      <c r="H8" t="n">
        <v>230</v>
      </c>
      <c r="I8" t="n">
        <v>230</v>
      </c>
    </row>
    <row r="9">
      <c r="A9" t="inlineStr">
        <is>
          <t>July</t>
        </is>
      </c>
      <c r="B9" t="n">
        <v>7</v>
      </c>
      <c r="C9" t="n">
        <v>2011</v>
      </c>
      <c r="D9" t="n">
        <v>3</v>
      </c>
      <c r="E9" s="7" t="n">
        <v>596746.5568</v>
      </c>
      <c r="F9" s="7" t="n">
        <v>356425.6472</v>
      </c>
      <c r="G9" s="7" t="n">
        <v>240320.9096</v>
      </c>
      <c r="H9" t="n">
        <v>188</v>
      </c>
      <c r="I9" t="n">
        <v>188</v>
      </c>
    </row>
    <row r="10">
      <c r="A10" t="inlineStr">
        <is>
          <t>August</t>
        </is>
      </c>
      <c r="B10" t="n">
        <v>8</v>
      </c>
      <c r="C10" t="n">
        <v>2011</v>
      </c>
      <c r="D10" t="n">
        <v>3</v>
      </c>
      <c r="E10" s="7" t="n">
        <v>614557.9350000001</v>
      </c>
      <c r="F10" s="7" t="n">
        <v>369481.3673</v>
      </c>
      <c r="G10" s="7" t="n">
        <v>245076.5677</v>
      </c>
      <c r="H10" t="n">
        <v>193</v>
      </c>
      <c r="I10" t="n">
        <v>193</v>
      </c>
    </row>
    <row r="11">
      <c r="A11" t="inlineStr">
        <is>
          <t>September</t>
        </is>
      </c>
      <c r="B11" t="n">
        <v>9</v>
      </c>
      <c r="C11" t="n">
        <v>2011</v>
      </c>
      <c r="D11" t="n">
        <v>3</v>
      </c>
      <c r="E11" s="7" t="n">
        <v>603083.4976</v>
      </c>
      <c r="F11" s="7" t="n">
        <v>360187.4522</v>
      </c>
      <c r="G11" s="7" t="n">
        <v>242896.0454</v>
      </c>
      <c r="H11" t="n">
        <v>185</v>
      </c>
      <c r="I11" t="n">
        <v>185</v>
      </c>
    </row>
    <row r="12">
      <c r="A12" t="inlineStr">
        <is>
          <t>October</t>
        </is>
      </c>
      <c r="B12" t="n">
        <v>10</v>
      </c>
      <c r="C12" t="n">
        <v>2011</v>
      </c>
      <c r="D12" t="n">
        <v>4</v>
      </c>
      <c r="E12" s="7" t="n">
        <v>708208.0032</v>
      </c>
      <c r="F12" s="7" t="n">
        <v>423441.1408</v>
      </c>
      <c r="G12" s="7" t="n">
        <v>284766.8624</v>
      </c>
      <c r="H12" t="n">
        <v>221</v>
      </c>
      <c r="I12" t="n">
        <v>221</v>
      </c>
    </row>
    <row r="13">
      <c r="A13" t="inlineStr">
        <is>
          <t>November</t>
        </is>
      </c>
      <c r="B13" t="n">
        <v>11</v>
      </c>
      <c r="C13" t="n">
        <v>2011</v>
      </c>
      <c r="D13" t="n">
        <v>4</v>
      </c>
      <c r="E13" s="7" t="n">
        <v>660545.8132</v>
      </c>
      <c r="F13" s="7" t="n">
        <v>393617.2974</v>
      </c>
      <c r="G13" s="7" t="n">
        <v>266928.5158</v>
      </c>
      <c r="H13" t="n">
        <v>208</v>
      </c>
      <c r="I13" t="n">
        <v>208</v>
      </c>
    </row>
    <row r="14">
      <c r="A14" t="inlineStr">
        <is>
          <t>December</t>
        </is>
      </c>
      <c r="B14" t="n">
        <v>12</v>
      </c>
      <c r="C14" t="n">
        <v>2011</v>
      </c>
      <c r="D14" t="n">
        <v>4</v>
      </c>
      <c r="E14" s="7" t="n">
        <v>669431.5031</v>
      </c>
      <c r="F14" s="7" t="n">
        <v>399113.5636</v>
      </c>
      <c r="G14" s="7" t="n">
        <v>270317.9395</v>
      </c>
      <c r="H14" t="n">
        <v>222</v>
      </c>
      <c r="I14" t="n">
        <v>222</v>
      </c>
    </row>
    <row r="15">
      <c r="A15" t="inlineStr">
        <is>
          <t>January</t>
        </is>
      </c>
      <c r="B15" t="n">
        <v>1</v>
      </c>
      <c r="C15" t="n">
        <v>2012</v>
      </c>
      <c r="D15" t="n">
        <v>1</v>
      </c>
      <c r="E15" s="7" t="n">
        <v>495364.1261</v>
      </c>
      <c r="F15" s="7" t="n">
        <v>295351.4168</v>
      </c>
      <c r="G15" s="7" t="n">
        <v>200012.7093</v>
      </c>
      <c r="H15" t="n">
        <v>252</v>
      </c>
      <c r="I15" t="n">
        <v>252</v>
      </c>
    </row>
    <row r="16">
      <c r="A16" t="inlineStr">
        <is>
          <t>February</t>
        </is>
      </c>
      <c r="B16" t="n">
        <v>2</v>
      </c>
      <c r="C16" t="n">
        <v>2012</v>
      </c>
      <c r="D16" t="n">
        <v>1</v>
      </c>
      <c r="E16" s="7" t="n">
        <v>506994.1876</v>
      </c>
      <c r="F16" s="7" t="n">
        <v>301055.3954</v>
      </c>
      <c r="G16" s="7" t="n">
        <v>205938.7922</v>
      </c>
      <c r="H16" t="n">
        <v>260</v>
      </c>
      <c r="I16" t="n">
        <v>260</v>
      </c>
    </row>
    <row r="17">
      <c r="A17" t="inlineStr">
        <is>
          <t>March</t>
        </is>
      </c>
      <c r="B17" t="n">
        <v>3</v>
      </c>
      <c r="C17" t="n">
        <v>2012</v>
      </c>
      <c r="D17" t="n">
        <v>1</v>
      </c>
      <c r="E17" s="7" t="n">
        <v>373483.0054</v>
      </c>
      <c r="F17" s="7" t="n">
        <v>221598.6381</v>
      </c>
      <c r="G17" s="7" t="n">
        <v>151884.3673</v>
      </c>
      <c r="H17" t="n">
        <v>212</v>
      </c>
      <c r="I17" t="n">
        <v>212</v>
      </c>
    </row>
    <row r="18">
      <c r="A18" t="inlineStr">
        <is>
          <t>April</t>
        </is>
      </c>
      <c r="B18" t="n">
        <v>4</v>
      </c>
      <c r="C18" t="n">
        <v>2012</v>
      </c>
      <c r="D18" t="n">
        <v>2</v>
      </c>
      <c r="E18" s="7" t="n">
        <v>400335.6145</v>
      </c>
      <c r="F18" s="7" t="n">
        <v>235073.2938</v>
      </c>
      <c r="G18" s="7" t="n">
        <v>165262.3207</v>
      </c>
      <c r="H18" t="n">
        <v>219</v>
      </c>
      <c r="I18" t="n">
        <v>219</v>
      </c>
    </row>
    <row r="19">
      <c r="A19" t="inlineStr">
        <is>
          <t>May</t>
        </is>
      </c>
      <c r="B19" t="n">
        <v>5</v>
      </c>
      <c r="C19" t="n">
        <v>2012</v>
      </c>
      <c r="D19" t="n">
        <v>2</v>
      </c>
      <c r="E19" s="7" t="n">
        <v>358877.8907</v>
      </c>
      <c r="F19" s="7" t="n">
        <v>212590.7336</v>
      </c>
      <c r="G19" s="7" t="n">
        <v>146287.1571</v>
      </c>
      <c r="H19" t="n">
        <v>207</v>
      </c>
      <c r="I19" t="n">
        <v>207</v>
      </c>
    </row>
    <row r="20">
      <c r="A20" t="inlineStr">
        <is>
          <t>June</t>
        </is>
      </c>
      <c r="B20" t="n">
        <v>6</v>
      </c>
      <c r="C20" t="n">
        <v>2012</v>
      </c>
      <c r="D20" t="n">
        <v>2</v>
      </c>
      <c r="E20" s="7" t="n">
        <v>555160.1428</v>
      </c>
      <c r="F20" s="7" t="n">
        <v>323020.1499</v>
      </c>
      <c r="G20" s="7" t="n">
        <v>232139.9929</v>
      </c>
      <c r="H20" t="n">
        <v>318</v>
      </c>
      <c r="I20" t="n">
        <v>318</v>
      </c>
    </row>
    <row r="21">
      <c r="A21" t="inlineStr">
        <is>
          <t>July</t>
        </is>
      </c>
      <c r="B21" t="n">
        <v>7</v>
      </c>
      <c r="C21" t="n">
        <v>2012</v>
      </c>
      <c r="D21" t="n">
        <v>3</v>
      </c>
      <c r="E21" s="7" t="n">
        <v>444558.2281</v>
      </c>
      <c r="F21" s="7" t="n">
        <v>258201.9298</v>
      </c>
      <c r="G21" s="7" t="n">
        <v>186356.2983</v>
      </c>
      <c r="H21" t="n">
        <v>246</v>
      </c>
      <c r="I21" t="n">
        <v>246</v>
      </c>
    </row>
    <row r="22">
      <c r="A22" t="inlineStr">
        <is>
          <t>August</t>
        </is>
      </c>
      <c r="B22" t="n">
        <v>8</v>
      </c>
      <c r="C22" t="n">
        <v>2012</v>
      </c>
      <c r="D22" t="n">
        <v>3</v>
      </c>
      <c r="E22" s="7" t="n">
        <v>523917.3815</v>
      </c>
      <c r="F22" s="7" t="n">
        <v>303996.0969</v>
      </c>
      <c r="G22" s="7" t="n">
        <v>219921.2846</v>
      </c>
      <c r="H22" t="n">
        <v>294</v>
      </c>
      <c r="I22" t="n">
        <v>294</v>
      </c>
    </row>
    <row r="23">
      <c r="A23" t="inlineStr">
        <is>
          <t>September</t>
        </is>
      </c>
      <c r="B23" t="n">
        <v>9</v>
      </c>
      <c r="C23" t="n">
        <v>2012</v>
      </c>
      <c r="D23" t="n">
        <v>3</v>
      </c>
      <c r="E23" s="7" t="n">
        <v>486177.4502</v>
      </c>
      <c r="F23" s="7" t="n">
        <v>282167.5595</v>
      </c>
      <c r="G23" s="7" t="n">
        <v>204009.8907</v>
      </c>
      <c r="H23" t="n">
        <v>269</v>
      </c>
      <c r="I23" t="n">
        <v>269</v>
      </c>
    </row>
    <row r="24">
      <c r="A24" t="inlineStr">
        <is>
          <t>October</t>
        </is>
      </c>
      <c r="B24" t="n">
        <v>10</v>
      </c>
      <c r="C24" t="n">
        <v>2012</v>
      </c>
      <c r="D24" t="n">
        <v>4</v>
      </c>
      <c r="E24" s="7" t="n">
        <v>535159.4846</v>
      </c>
      <c r="F24" s="7" t="n">
        <v>309799.0815</v>
      </c>
      <c r="G24" s="7" t="n">
        <v>225360.4031</v>
      </c>
      <c r="H24" t="n">
        <v>313</v>
      </c>
      <c r="I24" t="n">
        <v>313</v>
      </c>
    </row>
    <row r="25">
      <c r="A25" t="inlineStr">
        <is>
          <t>November</t>
        </is>
      </c>
      <c r="B25" t="n">
        <v>11</v>
      </c>
      <c r="C25" t="n">
        <v>2012</v>
      </c>
      <c r="D25" t="n">
        <v>4</v>
      </c>
      <c r="E25" s="7" t="n">
        <v>537955.517</v>
      </c>
      <c r="F25" s="7" t="n">
        <v>310338.3738</v>
      </c>
      <c r="G25" s="7" t="n">
        <v>227617.1432</v>
      </c>
      <c r="H25" t="n">
        <v>324</v>
      </c>
      <c r="I25" t="n">
        <v>324</v>
      </c>
    </row>
    <row r="26">
      <c r="A26" t="inlineStr">
        <is>
          <t>December</t>
        </is>
      </c>
      <c r="B26" t="n">
        <v>12</v>
      </c>
      <c r="C26" t="n">
        <v>2012</v>
      </c>
      <c r="D26" t="n">
        <v>4</v>
      </c>
      <c r="E26" s="7" t="n">
        <v>624502.1666999999</v>
      </c>
      <c r="F26" s="7" t="n">
        <v>361285.5002</v>
      </c>
      <c r="G26" s="7" t="n">
        <v>263216.6665</v>
      </c>
      <c r="H26" t="n">
        <v>483</v>
      </c>
      <c r="I26" t="n">
        <v>355</v>
      </c>
    </row>
    <row r="27">
      <c r="A27" t="inlineStr">
        <is>
          <t>January</t>
        </is>
      </c>
      <c r="B27" t="n">
        <v>1</v>
      </c>
      <c r="C27" t="n">
        <v>2013</v>
      </c>
      <c r="D27" t="n">
        <v>1</v>
      </c>
      <c r="E27" s="7" t="n">
        <v>857689.91</v>
      </c>
      <c r="F27" s="7" t="n">
        <v>506263.0672</v>
      </c>
      <c r="G27" s="7" t="n">
        <v>351426.8428</v>
      </c>
      <c r="H27" t="n">
        <v>1662</v>
      </c>
      <c r="I27" t="n">
        <v>632</v>
      </c>
    </row>
    <row r="28">
      <c r="A28" t="inlineStr">
        <is>
          <t>February</t>
        </is>
      </c>
      <c r="B28" t="n">
        <v>2</v>
      </c>
      <c r="C28" t="n">
        <v>2013</v>
      </c>
      <c r="D28" t="n">
        <v>1</v>
      </c>
      <c r="E28" s="7" t="n">
        <v>771348.74</v>
      </c>
      <c r="F28" s="7" t="n">
        <v>450506.2322</v>
      </c>
      <c r="G28" s="7" t="n">
        <v>320842.5078</v>
      </c>
      <c r="H28" t="n">
        <v>3453</v>
      </c>
      <c r="I28" t="n">
        <v>1421</v>
      </c>
    </row>
    <row r="29">
      <c r="A29" t="inlineStr">
        <is>
          <t>March</t>
        </is>
      </c>
      <c r="B29" t="n">
        <v>3</v>
      </c>
      <c r="C29" t="n">
        <v>2013</v>
      </c>
      <c r="D29" t="n">
        <v>1</v>
      </c>
      <c r="E29" s="7" t="n">
        <v>1049907.39</v>
      </c>
      <c r="F29" s="7" t="n">
        <v>612129.8784</v>
      </c>
      <c r="G29" s="7" t="n">
        <v>437777.5116</v>
      </c>
      <c r="H29" t="n">
        <v>4087</v>
      </c>
      <c r="I29" t="n">
        <v>1690</v>
      </c>
    </row>
    <row r="30">
      <c r="A30" t="inlineStr">
        <is>
          <t>April</t>
        </is>
      </c>
      <c r="B30" t="n">
        <v>4</v>
      </c>
      <c r="C30" t="n">
        <v>2013</v>
      </c>
      <c r="D30" t="n">
        <v>2</v>
      </c>
      <c r="E30" s="7" t="n">
        <v>1046022.77</v>
      </c>
      <c r="F30" s="7" t="n">
        <v>612246.4375999999</v>
      </c>
      <c r="G30" s="7" t="n">
        <v>433776.3324</v>
      </c>
      <c r="H30" t="n">
        <v>3979</v>
      </c>
      <c r="I30" t="n">
        <v>1612</v>
      </c>
    </row>
    <row r="31">
      <c r="A31" t="inlineStr">
        <is>
          <t>May</t>
        </is>
      </c>
      <c r="B31" t="n">
        <v>5</v>
      </c>
      <c r="C31" t="n">
        <v>2013</v>
      </c>
      <c r="D31" t="n">
        <v>2</v>
      </c>
      <c r="E31" s="7" t="n">
        <v>1284592.93</v>
      </c>
      <c r="F31" s="7" t="n">
        <v>753170.5466999999</v>
      </c>
      <c r="G31" s="7" t="n">
        <v>531422.3833</v>
      </c>
      <c r="H31" t="n">
        <v>4399</v>
      </c>
      <c r="I31" t="n">
        <v>1792</v>
      </c>
    </row>
    <row r="32">
      <c r="A32" t="inlineStr">
        <is>
          <t>June</t>
        </is>
      </c>
      <c r="B32" t="n">
        <v>6</v>
      </c>
      <c r="C32" t="n">
        <v>2013</v>
      </c>
      <c r="D32" t="n">
        <v>2</v>
      </c>
      <c r="E32" s="7" t="n">
        <v>1643177.78</v>
      </c>
      <c r="F32" s="7" t="n">
        <v>966499.9944</v>
      </c>
      <c r="G32" s="7" t="n">
        <v>676677.7855999999</v>
      </c>
      <c r="H32" t="n">
        <v>5025</v>
      </c>
      <c r="I32" t="n">
        <v>2007</v>
      </c>
    </row>
    <row r="33">
      <c r="A33" t="inlineStr">
        <is>
          <t>July</t>
        </is>
      </c>
      <c r="B33" t="n">
        <v>7</v>
      </c>
      <c r="C33" t="n">
        <v>2013</v>
      </c>
      <c r="D33" t="n">
        <v>3</v>
      </c>
      <c r="E33" s="7" t="n">
        <v>1371675.81</v>
      </c>
      <c r="F33" s="7" t="n">
        <v>803121.6342</v>
      </c>
      <c r="G33" s="7" t="n">
        <v>568554.1758</v>
      </c>
      <c r="H33" t="n">
        <v>4671</v>
      </c>
      <c r="I33" t="n">
        <v>1875</v>
      </c>
    </row>
    <row r="34">
      <c r="A34" t="inlineStr">
        <is>
          <t>August</t>
        </is>
      </c>
      <c r="B34" t="n">
        <v>8</v>
      </c>
      <c r="C34" t="n">
        <v>2013</v>
      </c>
      <c r="D34" t="n">
        <v>3</v>
      </c>
      <c r="E34" s="7" t="n">
        <v>1551065.56</v>
      </c>
      <c r="F34" s="7" t="n">
        <v>910276.7537999999</v>
      </c>
      <c r="G34" s="7" t="n">
        <v>640788.8062</v>
      </c>
      <c r="H34" t="n">
        <v>4865</v>
      </c>
      <c r="I34" t="n">
        <v>1966</v>
      </c>
    </row>
    <row r="35">
      <c r="A35" t="inlineStr">
        <is>
          <t>September</t>
        </is>
      </c>
      <c r="B35" t="n">
        <v>9</v>
      </c>
      <c r="C35" t="n">
        <v>2013</v>
      </c>
      <c r="D35" t="n">
        <v>3</v>
      </c>
      <c r="E35" s="7" t="n">
        <v>1447495.69</v>
      </c>
      <c r="F35" s="7" t="n">
        <v>849266.5162</v>
      </c>
      <c r="G35" s="7" t="n">
        <v>598229.1738</v>
      </c>
      <c r="H35" t="n">
        <v>4616</v>
      </c>
      <c r="I35" t="n">
        <v>1884</v>
      </c>
    </row>
    <row r="36">
      <c r="A36" t="inlineStr">
        <is>
          <t>October</t>
        </is>
      </c>
      <c r="B36" t="n">
        <v>10</v>
      </c>
      <c r="C36" t="n">
        <v>2013</v>
      </c>
      <c r="D36" t="n">
        <v>4</v>
      </c>
      <c r="E36" s="7" t="n">
        <v>1673293.41</v>
      </c>
      <c r="F36" s="7" t="n">
        <v>983122.6782</v>
      </c>
      <c r="G36" s="7" t="n">
        <v>690170.7318</v>
      </c>
      <c r="H36" t="n">
        <v>5300</v>
      </c>
      <c r="I36" t="n">
        <v>2131</v>
      </c>
    </row>
    <row r="37">
      <c r="A37" t="inlineStr">
        <is>
          <t>November</t>
        </is>
      </c>
      <c r="B37" t="n">
        <v>11</v>
      </c>
      <c r="C37" t="n">
        <v>2013</v>
      </c>
      <c r="D37" t="n">
        <v>4</v>
      </c>
      <c r="E37" s="7" t="n">
        <v>1780920.06</v>
      </c>
      <c r="F37" s="7" t="n">
        <v>1041414.4573</v>
      </c>
      <c r="G37" s="7" t="n">
        <v>739505.6027</v>
      </c>
      <c r="H37" t="n">
        <v>5224</v>
      </c>
      <c r="I37" t="n">
        <v>2087</v>
      </c>
    </row>
    <row r="38">
      <c r="A38" t="inlineStr">
        <is>
          <t>December</t>
        </is>
      </c>
      <c r="B38" t="n">
        <v>12</v>
      </c>
      <c r="C38" t="n">
        <v>2013</v>
      </c>
      <c r="D38" t="n">
        <v>4</v>
      </c>
      <c r="E38" s="7" t="n">
        <v>1874360.29</v>
      </c>
      <c r="F38" s="7" t="n">
        <v>1098121.1728</v>
      </c>
      <c r="G38" s="7" t="n">
        <v>776239.1172</v>
      </c>
      <c r="H38" t="n">
        <v>5520</v>
      </c>
      <c r="I38" t="n">
        <v>2192</v>
      </c>
    </row>
    <row r="39">
      <c r="A39" t="inlineStr">
        <is>
          <t>January</t>
        </is>
      </c>
      <c r="B39" t="n">
        <v>1</v>
      </c>
      <c r="C39" t="n">
        <v>2014</v>
      </c>
      <c r="D39" t="n">
        <v>1</v>
      </c>
      <c r="E39" s="7" t="n">
        <v>45694.72</v>
      </c>
      <c r="F39" s="7" t="n">
        <v>20141.7824</v>
      </c>
      <c r="G39" s="7" t="n">
        <v>25552.9376</v>
      </c>
      <c r="H39" t="n">
        <v>1970</v>
      </c>
      <c r="I39" t="n">
        <v>871</v>
      </c>
    </row>
  </sheetData>
  <autoFilter ref="A1:I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1" customWidth="1" min="5" max="5"/>
    <col width="12" customWidth="1" min="6" max="6"/>
  </cols>
  <sheetData>
    <row r="1">
      <c r="A1" s="6" t="inlineStr">
        <is>
          <t>category</t>
        </is>
      </c>
      <c r="B1" s="6" t="inlineStr">
        <is>
          <t>year</t>
        </is>
      </c>
      <c r="C1" s="6" t="inlineStr">
        <is>
          <t>month</t>
        </is>
      </c>
      <c r="D1" s="6" t="inlineStr">
        <is>
          <t>revenue</t>
        </is>
      </c>
      <c r="E1" s="6" t="inlineStr">
        <is>
          <t>units</t>
        </is>
      </c>
      <c r="F1" s="6" t="inlineStr">
        <is>
          <t>margin_pct</t>
        </is>
      </c>
    </row>
    <row r="2">
      <c r="A2" t="inlineStr">
        <is>
          <t>Bikes</t>
        </is>
      </c>
      <c r="B2" t="n">
        <v>2010</v>
      </c>
      <c r="C2" t="n">
        <v>12</v>
      </c>
      <c r="D2" t="n">
        <v>43421.0364</v>
      </c>
      <c r="E2" t="n">
        <v>14</v>
      </c>
      <c r="F2" t="n">
        <v>41.11</v>
      </c>
    </row>
    <row r="3">
      <c r="A3" t="inlineStr">
        <is>
          <t>Bikes</t>
        </is>
      </c>
      <c r="B3" t="n">
        <v>2011</v>
      </c>
      <c r="C3" t="n">
        <v>1</v>
      </c>
      <c r="D3" t="n">
        <v>469823.9148</v>
      </c>
      <c r="E3" t="n">
        <v>144</v>
      </c>
      <c r="F3" t="n">
        <v>40.22</v>
      </c>
    </row>
    <row r="4">
      <c r="A4" t="inlineStr">
        <is>
          <t>Bikes</t>
        </is>
      </c>
      <c r="B4" t="n">
        <v>2011</v>
      </c>
      <c r="C4" t="n">
        <v>2</v>
      </c>
      <c r="D4" t="n">
        <v>466334.903</v>
      </c>
      <c r="E4" t="n">
        <v>144</v>
      </c>
      <c r="F4" t="n">
        <v>40.32</v>
      </c>
    </row>
    <row r="5">
      <c r="A5" t="inlineStr">
        <is>
          <t>Bikes</t>
        </is>
      </c>
      <c r="B5" t="n">
        <v>2011</v>
      </c>
      <c r="C5" t="n">
        <v>3</v>
      </c>
      <c r="D5" t="n">
        <v>485198.6594</v>
      </c>
      <c r="E5" t="n">
        <v>150</v>
      </c>
      <c r="F5" t="n">
        <v>39.79</v>
      </c>
    </row>
    <row r="6">
      <c r="A6" t="inlineStr">
        <is>
          <t>Bikes</t>
        </is>
      </c>
      <c r="B6" t="n">
        <v>2011</v>
      </c>
      <c r="C6" t="n">
        <v>4</v>
      </c>
      <c r="D6" t="n">
        <v>502073.8458</v>
      </c>
      <c r="E6" t="n">
        <v>157</v>
      </c>
      <c r="F6" t="n">
        <v>40.14</v>
      </c>
    </row>
    <row r="7">
      <c r="A7" t="inlineStr">
        <is>
          <t>Bikes</t>
        </is>
      </c>
      <c r="B7" t="n">
        <v>2011</v>
      </c>
      <c r="C7" t="n">
        <v>5</v>
      </c>
      <c r="D7" t="n">
        <v>561681.4758</v>
      </c>
      <c r="E7" t="n">
        <v>174</v>
      </c>
      <c r="F7" t="n">
        <v>40.24</v>
      </c>
    </row>
    <row r="8">
      <c r="A8" t="inlineStr">
        <is>
          <t>Bikes</t>
        </is>
      </c>
      <c r="B8" t="n">
        <v>2011</v>
      </c>
      <c r="C8" t="n">
        <v>6</v>
      </c>
      <c r="D8" t="n">
        <v>737839.8214</v>
      </c>
      <c r="E8" t="n">
        <v>230</v>
      </c>
      <c r="F8" t="n">
        <v>40.13</v>
      </c>
    </row>
    <row r="9">
      <c r="A9" t="inlineStr">
        <is>
          <t>Bikes</t>
        </is>
      </c>
      <c r="B9" t="n">
        <v>2011</v>
      </c>
      <c r="C9" t="n">
        <v>7</v>
      </c>
      <c r="D9" t="n">
        <v>596746.5568</v>
      </c>
      <c r="E9" t="n">
        <v>188</v>
      </c>
      <c r="F9" t="n">
        <v>40.27</v>
      </c>
    </row>
    <row r="10">
      <c r="A10" t="inlineStr">
        <is>
          <t>Bikes</t>
        </is>
      </c>
      <c r="B10" t="n">
        <v>2011</v>
      </c>
      <c r="C10" t="n">
        <v>8</v>
      </c>
      <c r="D10" t="n">
        <v>614557.9350000001</v>
      </c>
      <c r="E10" t="n">
        <v>193</v>
      </c>
      <c r="F10" t="n">
        <v>39.88</v>
      </c>
    </row>
    <row r="11">
      <c r="A11" t="inlineStr">
        <is>
          <t>Bikes</t>
        </is>
      </c>
      <c r="B11" t="n">
        <v>2011</v>
      </c>
      <c r="C11" t="n">
        <v>9</v>
      </c>
      <c r="D11" t="n">
        <v>603083.4976</v>
      </c>
      <c r="E11" t="n">
        <v>185</v>
      </c>
      <c r="F11" t="n">
        <v>40.28</v>
      </c>
    </row>
    <row r="12">
      <c r="A12" t="inlineStr">
        <is>
          <t>Bikes</t>
        </is>
      </c>
      <c r="B12" t="n">
        <v>2011</v>
      </c>
      <c r="C12" t="n">
        <v>10</v>
      </c>
      <c r="D12" t="n">
        <v>708208.0032</v>
      </c>
      <c r="E12" t="n">
        <v>221</v>
      </c>
      <c r="F12" t="n">
        <v>40.21</v>
      </c>
    </row>
    <row r="13">
      <c r="A13" t="inlineStr">
        <is>
          <t>Bikes</t>
        </is>
      </c>
      <c r="B13" t="n">
        <v>2011</v>
      </c>
      <c r="C13" t="n">
        <v>11</v>
      </c>
      <c r="D13" t="n">
        <v>660545.8132</v>
      </c>
      <c r="E13" t="n">
        <v>208</v>
      </c>
      <c r="F13" t="n">
        <v>40.41</v>
      </c>
    </row>
    <row r="14">
      <c r="A14" t="inlineStr">
        <is>
          <t>Bikes</t>
        </is>
      </c>
      <c r="B14" t="n">
        <v>2011</v>
      </c>
      <c r="C14" t="n">
        <v>12</v>
      </c>
      <c r="D14" t="n">
        <v>669431.5031</v>
      </c>
      <c r="E14" t="n">
        <v>222</v>
      </c>
      <c r="F14" t="n">
        <v>40.38</v>
      </c>
    </row>
    <row r="15">
      <c r="A15" t="inlineStr">
        <is>
          <t>Bikes</t>
        </is>
      </c>
      <c r="B15" t="n">
        <v>2012</v>
      </c>
      <c r="C15" t="n">
        <v>1</v>
      </c>
      <c r="D15" t="n">
        <v>495364.1261</v>
      </c>
      <c r="E15" t="n">
        <v>252</v>
      </c>
      <c r="F15" t="n">
        <v>40.38</v>
      </c>
    </row>
    <row r="16">
      <c r="A16" t="inlineStr">
        <is>
          <t>Bikes</t>
        </is>
      </c>
      <c r="B16" t="n">
        <v>2012</v>
      </c>
      <c r="C16" t="n">
        <v>2</v>
      </c>
      <c r="D16" t="n">
        <v>506994.1876</v>
      </c>
      <c r="E16" t="n">
        <v>260</v>
      </c>
      <c r="F16" t="n">
        <v>40.62</v>
      </c>
    </row>
    <row r="17">
      <c r="A17" t="inlineStr">
        <is>
          <t>Bikes</t>
        </is>
      </c>
      <c r="B17" t="n">
        <v>2012</v>
      </c>
      <c r="C17" t="n">
        <v>3</v>
      </c>
      <c r="D17" t="n">
        <v>373483.0054</v>
      </c>
      <c r="E17" t="n">
        <v>212</v>
      </c>
      <c r="F17" t="n">
        <v>40.67</v>
      </c>
    </row>
    <row r="18">
      <c r="A18" t="inlineStr">
        <is>
          <t>Bikes</t>
        </is>
      </c>
      <c r="B18" t="n">
        <v>2012</v>
      </c>
      <c r="C18" t="n">
        <v>4</v>
      </c>
      <c r="D18" t="n">
        <v>400335.6145</v>
      </c>
      <c r="E18" t="n">
        <v>219</v>
      </c>
      <c r="F18" t="n">
        <v>41.28</v>
      </c>
    </row>
    <row r="19">
      <c r="A19" t="inlineStr">
        <is>
          <t>Bikes</t>
        </is>
      </c>
      <c r="B19" t="n">
        <v>2012</v>
      </c>
      <c r="C19" t="n">
        <v>5</v>
      </c>
      <c r="D19" t="n">
        <v>358877.8907</v>
      </c>
      <c r="E19" t="n">
        <v>207</v>
      </c>
      <c r="F19" t="n">
        <v>40.76</v>
      </c>
    </row>
    <row r="20">
      <c r="A20" t="inlineStr">
        <is>
          <t>Bikes</t>
        </is>
      </c>
      <c r="B20" t="n">
        <v>2012</v>
      </c>
      <c r="C20" t="n">
        <v>6</v>
      </c>
      <c r="D20" t="n">
        <v>555160.1428</v>
      </c>
      <c r="E20" t="n">
        <v>318</v>
      </c>
      <c r="F20" t="n">
        <v>41.81</v>
      </c>
    </row>
    <row r="21">
      <c r="A21" t="inlineStr">
        <is>
          <t>Bikes</t>
        </is>
      </c>
      <c r="B21" t="n">
        <v>2012</v>
      </c>
      <c r="C21" t="n">
        <v>7</v>
      </c>
      <c r="D21" t="n">
        <v>444558.2281</v>
      </c>
      <c r="E21" t="n">
        <v>246</v>
      </c>
      <c r="F21" t="n">
        <v>41.92</v>
      </c>
    </row>
    <row r="22">
      <c r="A22" t="inlineStr">
        <is>
          <t>Bikes</t>
        </is>
      </c>
      <c r="B22" t="n">
        <v>2012</v>
      </c>
      <c r="C22" t="n">
        <v>8</v>
      </c>
      <c r="D22" t="n">
        <v>523917.3815</v>
      </c>
      <c r="E22" t="n">
        <v>294</v>
      </c>
      <c r="F22" t="n">
        <v>41.98</v>
      </c>
    </row>
    <row r="23">
      <c r="A23" t="inlineStr">
        <is>
          <t>Bikes</t>
        </is>
      </c>
      <c r="B23" t="n">
        <v>2012</v>
      </c>
      <c r="C23" t="n">
        <v>9</v>
      </c>
      <c r="D23" t="n">
        <v>486177.4502</v>
      </c>
      <c r="E23" t="n">
        <v>269</v>
      </c>
      <c r="F23" t="n">
        <v>41.96</v>
      </c>
    </row>
    <row r="24">
      <c r="A24" t="inlineStr">
        <is>
          <t>Bikes</t>
        </is>
      </c>
      <c r="B24" t="n">
        <v>2012</v>
      </c>
      <c r="C24" t="n">
        <v>10</v>
      </c>
      <c r="D24" t="n">
        <v>535159.4846</v>
      </c>
      <c r="E24" t="n">
        <v>313</v>
      </c>
      <c r="F24" t="n">
        <v>42.11</v>
      </c>
    </row>
    <row r="25">
      <c r="A25" t="inlineStr">
        <is>
          <t>Bikes</t>
        </is>
      </c>
      <c r="B25" t="n">
        <v>2012</v>
      </c>
      <c r="C25" t="n">
        <v>11</v>
      </c>
      <c r="D25" t="n">
        <v>537955.517</v>
      </c>
      <c r="E25" t="n">
        <v>324</v>
      </c>
      <c r="F25" t="n">
        <v>42.31</v>
      </c>
    </row>
    <row r="26">
      <c r="A26" t="inlineStr">
        <is>
          <t>Bikes</t>
        </is>
      </c>
      <c r="B26" t="n">
        <v>2012</v>
      </c>
      <c r="C26" t="n">
        <v>12</v>
      </c>
      <c r="D26" t="n">
        <v>621712.2966999999</v>
      </c>
      <c r="E26" t="n">
        <v>355</v>
      </c>
      <c r="F26" t="n">
        <v>42.09</v>
      </c>
    </row>
    <row r="27">
      <c r="A27" t="inlineStr">
        <is>
          <t>Clothing</t>
        </is>
      </c>
      <c r="B27" t="n">
        <v>2012</v>
      </c>
      <c r="C27" t="n">
        <v>12</v>
      </c>
      <c r="D27" t="n">
        <v>642.79</v>
      </c>
      <c r="E27" t="n">
        <v>22</v>
      </c>
      <c r="F27" t="n">
        <v>32.55</v>
      </c>
    </row>
    <row r="28">
      <c r="A28" t="inlineStr">
        <is>
          <t>Accessories</t>
        </is>
      </c>
      <c r="B28" t="n">
        <v>2012</v>
      </c>
      <c r="C28" t="n">
        <v>12</v>
      </c>
      <c r="D28" t="n">
        <v>2147.08</v>
      </c>
      <c r="E28" t="n">
        <v>106</v>
      </c>
      <c r="F28" t="n">
        <v>62.6</v>
      </c>
    </row>
    <row r="29">
      <c r="A29" t="inlineStr">
        <is>
          <t>Clothing</t>
        </is>
      </c>
      <c r="B29" t="n">
        <v>2013</v>
      </c>
      <c r="C29" t="n">
        <v>1</v>
      </c>
      <c r="D29" t="n">
        <v>8728.85</v>
      </c>
      <c r="E29" t="n">
        <v>234</v>
      </c>
      <c r="F29" t="n">
        <v>36.78</v>
      </c>
    </row>
    <row r="30">
      <c r="A30" t="inlineStr">
        <is>
          <t>Bikes</t>
        </is>
      </c>
      <c r="B30" t="n">
        <v>2013</v>
      </c>
      <c r="C30" t="n">
        <v>1</v>
      </c>
      <c r="D30" t="n">
        <v>829911.35</v>
      </c>
      <c r="E30" t="n">
        <v>497</v>
      </c>
      <c r="F30" t="n">
        <v>40.52</v>
      </c>
    </row>
    <row r="31">
      <c r="A31" t="inlineStr">
        <is>
          <t>Accessories</t>
        </is>
      </c>
      <c r="B31" t="n">
        <v>2013</v>
      </c>
      <c r="C31" t="n">
        <v>1</v>
      </c>
      <c r="D31" t="n">
        <v>19049.71</v>
      </c>
      <c r="E31" t="n">
        <v>931</v>
      </c>
      <c r="F31" t="n">
        <v>62.6</v>
      </c>
    </row>
    <row r="32">
      <c r="A32" t="inlineStr">
        <is>
          <t>Bikes</t>
        </is>
      </c>
      <c r="B32" t="n">
        <v>2013</v>
      </c>
      <c r="C32" t="n">
        <v>2</v>
      </c>
      <c r="D32" t="n">
        <v>703796.72</v>
      </c>
      <c r="E32" t="n">
        <v>454</v>
      </c>
      <c r="F32" t="n">
        <v>40.24</v>
      </c>
    </row>
    <row r="33">
      <c r="A33" t="inlineStr">
        <is>
          <t>Clothing</t>
        </is>
      </c>
      <c r="B33" t="n">
        <v>2013</v>
      </c>
      <c r="C33" t="n">
        <v>2</v>
      </c>
      <c r="D33" t="n">
        <v>21305.93</v>
      </c>
      <c r="E33" t="n">
        <v>584</v>
      </c>
      <c r="F33" t="n">
        <v>40.81</v>
      </c>
    </row>
    <row r="34">
      <c r="A34" t="inlineStr">
        <is>
          <t>Accessories</t>
        </is>
      </c>
      <c r="B34" t="n">
        <v>2013</v>
      </c>
      <c r="C34" t="n">
        <v>2</v>
      </c>
      <c r="D34" t="n">
        <v>46246.09</v>
      </c>
      <c r="E34" t="n">
        <v>2415</v>
      </c>
      <c r="F34" t="n">
        <v>62.6</v>
      </c>
    </row>
    <row r="35">
      <c r="A35" t="inlineStr">
        <is>
          <t>Accessories</t>
        </is>
      </c>
      <c r="B35" t="n">
        <v>2013</v>
      </c>
      <c r="C35" t="n">
        <v>3</v>
      </c>
      <c r="D35" t="n">
        <v>55339.21</v>
      </c>
      <c r="E35" t="n">
        <v>2771</v>
      </c>
      <c r="F35" t="n">
        <v>62.6</v>
      </c>
    </row>
    <row r="36">
      <c r="A36" t="inlineStr">
        <is>
          <t>Bikes</t>
        </is>
      </c>
      <c r="B36" t="n">
        <v>2013</v>
      </c>
      <c r="C36" t="n">
        <v>3</v>
      </c>
      <c r="D36" t="n">
        <v>967773.46</v>
      </c>
      <c r="E36" t="n">
        <v>608</v>
      </c>
      <c r="F36" t="n">
        <v>40.54</v>
      </c>
    </row>
    <row r="37">
      <c r="A37" t="inlineStr">
        <is>
          <t>Clothing</t>
        </is>
      </c>
      <c r="B37" t="n">
        <v>2013</v>
      </c>
      <c r="C37" t="n">
        <v>3</v>
      </c>
      <c r="D37" t="n">
        <v>26794.72</v>
      </c>
      <c r="E37" t="n">
        <v>708</v>
      </c>
      <c r="F37" t="n">
        <v>40.43</v>
      </c>
    </row>
    <row r="38">
      <c r="A38" t="inlineStr">
        <is>
          <t>Accessories</t>
        </is>
      </c>
      <c r="B38" t="n">
        <v>2013</v>
      </c>
      <c r="C38" t="n">
        <v>4</v>
      </c>
      <c r="D38" t="n">
        <v>51721.76</v>
      </c>
      <c r="E38" t="n">
        <v>2705</v>
      </c>
      <c r="F38" t="n">
        <v>62.6</v>
      </c>
    </row>
    <row r="39">
      <c r="A39" t="inlineStr">
        <is>
          <t>Clothing</t>
        </is>
      </c>
      <c r="B39" t="n">
        <v>2013</v>
      </c>
      <c r="C39" t="n">
        <v>4</v>
      </c>
      <c r="D39" t="n">
        <v>25396.75</v>
      </c>
      <c r="E39" t="n">
        <v>670</v>
      </c>
      <c r="F39" t="n">
        <v>41.46</v>
      </c>
    </row>
    <row r="40">
      <c r="A40" t="inlineStr">
        <is>
          <t>Bikes</t>
        </is>
      </c>
      <c r="B40" t="n">
        <v>2013</v>
      </c>
      <c r="C40" t="n">
        <v>4</v>
      </c>
      <c r="D40" t="n">
        <v>968904.26</v>
      </c>
      <c r="E40" t="n">
        <v>604</v>
      </c>
      <c r="F40" t="n">
        <v>40.34</v>
      </c>
    </row>
    <row r="41">
      <c r="A41" t="inlineStr">
        <is>
          <t>Bikes</t>
        </is>
      </c>
      <c r="B41" t="n">
        <v>2013</v>
      </c>
      <c r="C41" t="n">
        <v>5</v>
      </c>
      <c r="D41" t="n">
        <v>1200153.15</v>
      </c>
      <c r="E41" t="n">
        <v>749</v>
      </c>
      <c r="F41" t="n">
        <v>40.37</v>
      </c>
    </row>
    <row r="42">
      <c r="A42" t="inlineStr">
        <is>
          <t>Clothing</t>
        </is>
      </c>
      <c r="B42" t="n">
        <v>2013</v>
      </c>
      <c r="C42" t="n">
        <v>5</v>
      </c>
      <c r="D42" t="n">
        <v>26562.85</v>
      </c>
      <c r="E42" t="n">
        <v>709</v>
      </c>
      <c r="F42" t="n">
        <v>40.4</v>
      </c>
    </row>
    <row r="43">
      <c r="A43" t="inlineStr">
        <is>
          <t>Accessories</t>
        </is>
      </c>
      <c r="B43" t="n">
        <v>2013</v>
      </c>
      <c r="C43" t="n">
        <v>5</v>
      </c>
      <c r="D43" t="n">
        <v>57876.93</v>
      </c>
      <c r="E43" t="n">
        <v>2941</v>
      </c>
      <c r="F43" t="n">
        <v>62.6</v>
      </c>
    </row>
    <row r="44">
      <c r="A44" t="inlineStr">
        <is>
          <t>Accessories</t>
        </is>
      </c>
      <c r="B44" t="n">
        <v>2013</v>
      </c>
      <c r="C44" t="n">
        <v>6</v>
      </c>
      <c r="D44" t="n">
        <v>62526.89</v>
      </c>
      <c r="E44" t="n">
        <v>3226</v>
      </c>
      <c r="F44" t="n">
        <v>62.6</v>
      </c>
    </row>
    <row r="45">
      <c r="A45" t="inlineStr">
        <is>
          <t>Clothing</t>
        </is>
      </c>
      <c r="B45" t="n">
        <v>2013</v>
      </c>
      <c r="C45" t="n">
        <v>6</v>
      </c>
      <c r="D45" t="n">
        <v>29425.45</v>
      </c>
      <c r="E45" t="n">
        <v>795</v>
      </c>
      <c r="F45" t="n">
        <v>39.21</v>
      </c>
    </row>
    <row r="46">
      <c r="A46" t="inlineStr">
        <is>
          <t>Bikes</t>
        </is>
      </c>
      <c r="B46" t="n">
        <v>2013</v>
      </c>
      <c r="C46" t="n">
        <v>6</v>
      </c>
      <c r="D46" t="n">
        <v>1551225.44</v>
      </c>
      <c r="E46" t="n">
        <v>1004</v>
      </c>
      <c r="F46" t="n">
        <v>40.36</v>
      </c>
    </row>
    <row r="47">
      <c r="A47" t="inlineStr">
        <is>
          <t>Accessories</t>
        </is>
      </c>
      <c r="B47" t="n">
        <v>2013</v>
      </c>
      <c r="C47" t="n">
        <v>7</v>
      </c>
      <c r="D47" t="n">
        <v>58001.76</v>
      </c>
      <c r="E47" t="n">
        <v>3086</v>
      </c>
      <c r="F47" t="n">
        <v>62.6</v>
      </c>
    </row>
    <row r="48">
      <c r="A48" t="inlineStr">
        <is>
          <t>Clothing</t>
        </is>
      </c>
      <c r="B48" t="n">
        <v>2013</v>
      </c>
      <c r="C48" t="n">
        <v>7</v>
      </c>
      <c r="D48" t="n">
        <v>29486.64</v>
      </c>
      <c r="E48" t="n">
        <v>788</v>
      </c>
      <c r="F48" t="n">
        <v>39.35</v>
      </c>
    </row>
    <row r="49">
      <c r="A49" t="inlineStr">
        <is>
          <t>Bikes</t>
        </is>
      </c>
      <c r="B49" t="n">
        <v>2013</v>
      </c>
      <c r="C49" t="n">
        <v>7</v>
      </c>
      <c r="D49" t="n">
        <v>1284187.41</v>
      </c>
      <c r="E49" t="n">
        <v>797</v>
      </c>
      <c r="F49" t="n">
        <v>40.54</v>
      </c>
    </row>
    <row r="50">
      <c r="A50" t="inlineStr">
        <is>
          <t>Accessories</t>
        </is>
      </c>
      <c r="B50" t="n">
        <v>2013</v>
      </c>
      <c r="C50" t="n">
        <v>8</v>
      </c>
      <c r="D50" t="n">
        <v>59736.99</v>
      </c>
      <c r="E50" t="n">
        <v>3145</v>
      </c>
      <c r="F50" t="n">
        <v>62.6</v>
      </c>
    </row>
    <row r="51">
      <c r="A51" t="inlineStr">
        <is>
          <t>Clothing</t>
        </is>
      </c>
      <c r="B51" t="n">
        <v>2013</v>
      </c>
      <c r="C51" t="n">
        <v>8</v>
      </c>
      <c r="D51" t="n">
        <v>29835.3</v>
      </c>
      <c r="E51" t="n">
        <v>823</v>
      </c>
      <c r="F51" t="n">
        <v>40.34</v>
      </c>
    </row>
    <row r="52">
      <c r="A52" t="inlineStr">
        <is>
          <t>Bikes</t>
        </is>
      </c>
      <c r="B52" t="n">
        <v>2013</v>
      </c>
      <c r="C52" t="n">
        <v>8</v>
      </c>
      <c r="D52" t="n">
        <v>1461493.27</v>
      </c>
      <c r="E52" t="n">
        <v>897</v>
      </c>
      <c r="F52" t="n">
        <v>40.46</v>
      </c>
    </row>
    <row r="53">
      <c r="A53" t="inlineStr">
        <is>
          <t>Clothing</t>
        </is>
      </c>
      <c r="B53" t="n">
        <v>2013</v>
      </c>
      <c r="C53" t="n">
        <v>9</v>
      </c>
      <c r="D53" t="n">
        <v>27627.64</v>
      </c>
      <c r="E53" t="n">
        <v>739</v>
      </c>
      <c r="F53" t="n">
        <v>39.66</v>
      </c>
    </row>
    <row r="54">
      <c r="A54" t="inlineStr">
        <is>
          <t>Bikes</t>
        </is>
      </c>
      <c r="B54" t="n">
        <v>2013</v>
      </c>
      <c r="C54" t="n">
        <v>9</v>
      </c>
      <c r="D54" t="n">
        <v>1361344.82</v>
      </c>
      <c r="E54" t="n">
        <v>870</v>
      </c>
      <c r="F54" t="n">
        <v>40.45</v>
      </c>
    </row>
    <row r="55">
      <c r="A55" t="inlineStr">
        <is>
          <t>Accessories</t>
        </is>
      </c>
      <c r="B55" t="n">
        <v>2013</v>
      </c>
      <c r="C55" t="n">
        <v>9</v>
      </c>
      <c r="D55" t="n">
        <v>58523.23</v>
      </c>
      <c r="E55" t="n">
        <v>3007</v>
      </c>
      <c r="F55" t="n">
        <v>62.6</v>
      </c>
    </row>
    <row r="56">
      <c r="A56" t="inlineStr">
        <is>
          <t>Clothing</t>
        </is>
      </c>
      <c r="B56" t="n">
        <v>2013</v>
      </c>
      <c r="C56" t="n">
        <v>10</v>
      </c>
      <c r="D56" t="n">
        <v>33682.85</v>
      </c>
      <c r="E56" t="n">
        <v>879</v>
      </c>
      <c r="F56" t="n">
        <v>41.28</v>
      </c>
    </row>
    <row r="57">
      <c r="A57" t="inlineStr">
        <is>
          <t>Bikes</t>
        </is>
      </c>
      <c r="B57" t="n">
        <v>2013</v>
      </c>
      <c r="C57" t="n">
        <v>10</v>
      </c>
      <c r="D57" t="n">
        <v>1573442.64</v>
      </c>
      <c r="E57" t="n">
        <v>1016</v>
      </c>
      <c r="F57" t="n">
        <v>40.35</v>
      </c>
    </row>
    <row r="58">
      <c r="A58" t="inlineStr">
        <is>
          <t>Accessories</t>
        </is>
      </c>
      <c r="B58" t="n">
        <v>2013</v>
      </c>
      <c r="C58" t="n">
        <v>10</v>
      </c>
      <c r="D58" t="n">
        <v>66167.92</v>
      </c>
      <c r="E58" t="n">
        <v>3405</v>
      </c>
      <c r="F58" t="n">
        <v>62.6</v>
      </c>
    </row>
    <row r="59">
      <c r="A59" t="inlineStr">
        <is>
          <t>Clothing</t>
        </is>
      </c>
      <c r="B59" t="n">
        <v>2013</v>
      </c>
      <c r="C59" t="n">
        <v>11</v>
      </c>
      <c r="D59" t="n">
        <v>30154.34</v>
      </c>
      <c r="E59" t="n">
        <v>818</v>
      </c>
      <c r="F59" t="n">
        <v>39.43</v>
      </c>
    </row>
    <row r="60">
      <c r="A60" t="inlineStr">
        <is>
          <t>Bikes</t>
        </is>
      </c>
      <c r="B60" t="n">
        <v>2013</v>
      </c>
      <c r="C60" t="n">
        <v>11</v>
      </c>
      <c r="D60" t="n">
        <v>1683498.03</v>
      </c>
      <c r="E60" t="n">
        <v>1075</v>
      </c>
      <c r="F60" t="n">
        <v>40.72</v>
      </c>
    </row>
    <row r="61">
      <c r="A61" t="inlineStr">
        <is>
          <t>Accessories</t>
        </is>
      </c>
      <c r="B61" t="n">
        <v>2013</v>
      </c>
      <c r="C61" t="n">
        <v>11</v>
      </c>
      <c r="D61" t="n">
        <v>67267.69</v>
      </c>
      <c r="E61" t="n">
        <v>3331</v>
      </c>
      <c r="F61" t="n">
        <v>62.6</v>
      </c>
    </row>
    <row r="62">
      <c r="A62" t="inlineStr">
        <is>
          <t>Accessories</t>
        </is>
      </c>
      <c r="B62" t="n">
        <v>2013</v>
      </c>
      <c r="C62" t="n">
        <v>12</v>
      </c>
      <c r="D62" t="n">
        <v>65783.35000000001</v>
      </c>
      <c r="E62" t="n">
        <v>3446</v>
      </c>
      <c r="F62" t="n">
        <v>62.6</v>
      </c>
    </row>
    <row r="63">
      <c r="A63" t="inlineStr">
        <is>
          <t>Bikes</t>
        </is>
      </c>
      <c r="B63" t="n">
        <v>2013</v>
      </c>
      <c r="C63" t="n">
        <v>12</v>
      </c>
      <c r="D63" t="n">
        <v>1773771.81</v>
      </c>
      <c r="E63" t="n">
        <v>1135</v>
      </c>
      <c r="F63" t="n">
        <v>40.67</v>
      </c>
    </row>
    <row r="64">
      <c r="A64" t="inlineStr">
        <is>
          <t>Clothing</t>
        </is>
      </c>
      <c r="B64" t="n">
        <v>2013</v>
      </c>
      <c r="C64" t="n">
        <v>12</v>
      </c>
      <c r="D64" t="n">
        <v>34805.13</v>
      </c>
      <c r="E64" t="n">
        <v>939</v>
      </c>
      <c r="F64" t="n">
        <v>39.47</v>
      </c>
    </row>
    <row r="65">
      <c r="A65" t="inlineStr">
        <is>
          <t>Accessories</t>
        </is>
      </c>
      <c r="B65" t="n">
        <v>2014</v>
      </c>
      <c r="C65" t="n">
        <v>1</v>
      </c>
      <c r="D65" t="n">
        <v>30371.35</v>
      </c>
      <c r="E65" t="n">
        <v>1577</v>
      </c>
      <c r="F65" t="n">
        <v>62.6</v>
      </c>
    </row>
    <row r="66">
      <c r="A66" t="inlineStr">
        <is>
          <t>Clothing</t>
        </is>
      </c>
      <c r="B66" t="n">
        <v>2014</v>
      </c>
      <c r="C66" t="n">
        <v>1</v>
      </c>
      <c r="D66" t="n">
        <v>15323.37</v>
      </c>
      <c r="E66" t="n">
        <v>393</v>
      </c>
      <c r="F66" t="n">
        <v>42.68</v>
      </c>
    </row>
  </sheetData>
  <autoFilter ref="A1:F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5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6" t="inlineStr">
        <is>
          <t>category</t>
        </is>
      </c>
      <c r="B1" s="6" t="inlineStr">
        <is>
          <t>subcategory</t>
        </is>
      </c>
      <c r="C1" s="6" t="inlineStr">
        <is>
          <t>n_products</t>
        </is>
      </c>
      <c r="D1" s="6" t="inlineStr">
        <is>
          <t>revenue</t>
        </is>
      </c>
      <c r="E1" s="6" t="inlineStr">
        <is>
          <t>total_cost</t>
        </is>
      </c>
      <c r="F1" s="6" t="inlineStr">
        <is>
          <t>gross_profit</t>
        </is>
      </c>
      <c r="G1" s="6" t="inlineStr">
        <is>
          <t>margin_pct</t>
        </is>
      </c>
      <c r="H1" s="6" t="inlineStr">
        <is>
          <t>units_sold</t>
        </is>
      </c>
    </row>
    <row r="2">
      <c r="A2" t="inlineStr">
        <is>
          <t>Bikes</t>
        </is>
      </c>
      <c r="B2" t="inlineStr">
        <is>
          <t>Road Bikes</t>
        </is>
      </c>
      <c r="C2" t="n">
        <v>60</v>
      </c>
      <c r="D2" s="7" t="n">
        <v>14520584.0363</v>
      </c>
      <c r="E2" s="7" t="n">
        <v>8983284.3377</v>
      </c>
      <c r="F2" s="7" t="n">
        <v>5537299.6986</v>
      </c>
      <c r="G2" s="8" t="n">
        <v>38.13</v>
      </c>
      <c r="H2" t="n">
        <v>8068</v>
      </c>
    </row>
    <row r="3">
      <c r="A3" t="inlineStr">
        <is>
          <t>Bikes</t>
        </is>
      </c>
      <c r="B3" t="inlineStr">
        <is>
          <t>Mountain Bikes</t>
        </is>
      </c>
      <c r="C3" t="n">
        <v>34</v>
      </c>
      <c r="D3" s="7" t="n">
        <v>9952759.5644</v>
      </c>
      <c r="E3" s="7" t="n">
        <v>5439135.4583</v>
      </c>
      <c r="F3" s="7" t="n">
        <v>4513624.1061</v>
      </c>
      <c r="G3" s="8" t="n">
        <v>45.35</v>
      </c>
      <c r="H3" t="n">
        <v>4970</v>
      </c>
    </row>
    <row r="4">
      <c r="A4" t="inlineStr">
        <is>
          <t>Bikes</t>
        </is>
      </c>
      <c r="B4" t="inlineStr">
        <is>
          <t>Touring Bikes</t>
        </is>
      </c>
      <c r="C4" t="n">
        <v>22</v>
      </c>
      <c r="D4" s="7" t="n">
        <v>3844801.05</v>
      </c>
      <c r="E4" s="7" t="n">
        <v>2389928.3541</v>
      </c>
      <c r="F4" s="7" t="n">
        <v>1454872.6959</v>
      </c>
      <c r="G4" s="8" t="n">
        <v>37.84</v>
      </c>
      <c r="H4" t="n">
        <v>2167</v>
      </c>
    </row>
    <row r="5">
      <c r="A5" t="inlineStr">
        <is>
          <t>Accessories</t>
        </is>
      </c>
      <c r="B5" t="inlineStr">
        <is>
          <t>Tires and Tubes</t>
        </is>
      </c>
      <c r="C5" t="n">
        <v>11</v>
      </c>
      <c r="D5" s="7" t="n">
        <v>245529.32</v>
      </c>
      <c r="E5" s="7" t="n">
        <v>91828.56879999999</v>
      </c>
      <c r="F5" s="7" t="n">
        <v>153700.7512</v>
      </c>
      <c r="G5" s="8" t="n">
        <v>62.6</v>
      </c>
      <c r="H5" t="n">
        <v>17332</v>
      </c>
    </row>
    <row r="6">
      <c r="A6" t="inlineStr">
        <is>
          <t>Accessories</t>
        </is>
      </c>
      <c r="B6" t="inlineStr">
        <is>
          <t>Helmets</t>
        </is>
      </c>
      <c r="C6" t="n">
        <v>3</v>
      </c>
      <c r="D6" s="7" t="n">
        <v>225335.6</v>
      </c>
      <c r="E6" s="7" t="n">
        <v>84275.772</v>
      </c>
      <c r="F6" s="7" t="n">
        <v>141059.828</v>
      </c>
      <c r="G6" s="8" t="n">
        <v>62.6</v>
      </c>
      <c r="H6" t="n">
        <v>6440</v>
      </c>
    </row>
    <row r="7">
      <c r="A7" t="inlineStr">
        <is>
          <t>Clothing</t>
        </is>
      </c>
      <c r="B7" t="inlineStr">
        <is>
          <t>Jerseys</t>
        </is>
      </c>
      <c r="C7" t="n">
        <v>8</v>
      </c>
      <c r="D7" s="7" t="n">
        <v>172950.68</v>
      </c>
      <c r="E7" s="7" t="n">
        <v>133172.0236</v>
      </c>
      <c r="F7" s="7" t="n">
        <v>39778.6564</v>
      </c>
      <c r="G7" s="8" t="n">
        <v>23</v>
      </c>
      <c r="H7" t="n">
        <v>3332</v>
      </c>
    </row>
    <row r="8">
      <c r="A8" t="inlineStr">
        <is>
          <t>Clothing</t>
        </is>
      </c>
      <c r="B8" t="inlineStr">
        <is>
          <t>Shorts</t>
        </is>
      </c>
      <c r="C8" t="n">
        <v>3</v>
      </c>
      <c r="D8" s="7" t="n">
        <v>71319.81</v>
      </c>
      <c r="E8" s="7" t="n">
        <v>26673.6497</v>
      </c>
      <c r="F8" s="7" t="n">
        <v>44646.1603</v>
      </c>
      <c r="G8" s="8" t="n">
        <v>62.6</v>
      </c>
      <c r="H8" t="n">
        <v>1019</v>
      </c>
    </row>
    <row r="9">
      <c r="A9" t="inlineStr">
        <is>
          <t>Accessories</t>
        </is>
      </c>
      <c r="B9" t="inlineStr">
        <is>
          <t>Bottles and Cages</t>
        </is>
      </c>
      <c r="C9" t="n">
        <v>3</v>
      </c>
      <c r="D9" s="7" t="n">
        <v>56798.19</v>
      </c>
      <c r="E9" s="7" t="n">
        <v>21242.8423</v>
      </c>
      <c r="F9" s="7" t="n">
        <v>35555.3477</v>
      </c>
      <c r="G9" s="8" t="n">
        <v>62.6</v>
      </c>
      <c r="H9" t="n">
        <v>7981</v>
      </c>
    </row>
    <row r="10">
      <c r="A10" t="inlineStr">
        <is>
          <t>Accessories</t>
        </is>
      </c>
      <c r="B10" t="inlineStr">
        <is>
          <t>Fenders</t>
        </is>
      </c>
      <c r="C10" t="n">
        <v>1</v>
      </c>
      <c r="D10" s="7" t="n">
        <v>46619.58</v>
      </c>
      <c r="E10" s="7" t="n">
        <v>17435.6805</v>
      </c>
      <c r="F10" s="7" t="n">
        <v>29183.8995</v>
      </c>
      <c r="G10" s="8" t="n">
        <v>62.6</v>
      </c>
      <c r="H10" t="n">
        <v>2121</v>
      </c>
    </row>
    <row r="11">
      <c r="A11" t="inlineStr">
        <is>
          <t>Accessories</t>
        </is>
      </c>
      <c r="B11" t="inlineStr">
        <is>
          <t>Hydration Packs</t>
        </is>
      </c>
      <c r="C11" t="n">
        <v>1</v>
      </c>
      <c r="D11" s="7" t="n">
        <v>40307.67</v>
      </c>
      <c r="E11" s="7" t="n">
        <v>15075.0979</v>
      </c>
      <c r="F11" s="7" t="n">
        <v>25232.5721</v>
      </c>
      <c r="G11" s="8" t="n">
        <v>62.6</v>
      </c>
      <c r="H11" t="n">
        <v>733</v>
      </c>
    </row>
    <row r="12">
      <c r="A12" t="inlineStr">
        <is>
          <t>Accessories</t>
        </is>
      </c>
      <c r="B12" t="inlineStr">
        <is>
          <t>Bike Stands</t>
        </is>
      </c>
      <c r="C12" t="n">
        <v>1</v>
      </c>
      <c r="D12" s="7" t="n">
        <v>39591</v>
      </c>
      <c r="E12" s="7" t="n">
        <v>14807.034</v>
      </c>
      <c r="F12" s="7" t="n">
        <v>24783.966</v>
      </c>
      <c r="G12" s="8" t="n">
        <v>62.6</v>
      </c>
      <c r="H12" t="n">
        <v>249</v>
      </c>
    </row>
    <row r="13">
      <c r="A13" t="inlineStr">
        <is>
          <t>Accessories</t>
        </is>
      </c>
      <c r="B13" t="inlineStr">
        <is>
          <t>Bike Racks</t>
        </is>
      </c>
      <c r="C13" t="n">
        <v>1</v>
      </c>
      <c r="D13" s="7" t="n">
        <v>39360</v>
      </c>
      <c r="E13" s="7" t="n">
        <v>14720.64</v>
      </c>
      <c r="F13" s="7" t="n">
        <v>24639.36</v>
      </c>
      <c r="G13" s="8" t="n">
        <v>62.6</v>
      </c>
      <c r="H13" t="n">
        <v>328</v>
      </c>
    </row>
    <row r="14">
      <c r="A14" t="inlineStr">
        <is>
          <t>Clothing</t>
        </is>
      </c>
      <c r="B14" t="inlineStr">
        <is>
          <t>Vests</t>
        </is>
      </c>
      <c r="C14" t="n">
        <v>3</v>
      </c>
      <c r="D14" s="7" t="n">
        <v>35687</v>
      </c>
      <c r="E14" s="7" t="n">
        <v>13346.938</v>
      </c>
      <c r="F14" s="7" t="n">
        <v>22340.062</v>
      </c>
      <c r="G14" s="8" t="n">
        <v>62.6</v>
      </c>
      <c r="H14" t="n">
        <v>562</v>
      </c>
    </row>
    <row r="15">
      <c r="A15" t="inlineStr">
        <is>
          <t>Clothing</t>
        </is>
      </c>
      <c r="B15" t="inlineStr">
        <is>
          <t>Gloves</t>
        </is>
      </c>
      <c r="C15" t="n">
        <v>3</v>
      </c>
      <c r="D15" s="7" t="n">
        <v>35020.7</v>
      </c>
      <c r="E15" s="7" t="n">
        <v>13097.799</v>
      </c>
      <c r="F15" s="7" t="n">
        <v>21922.901</v>
      </c>
      <c r="G15" s="8" t="n">
        <v>62.6</v>
      </c>
      <c r="H15" t="n">
        <v>1430</v>
      </c>
    </row>
    <row r="16">
      <c r="A16" t="inlineStr">
        <is>
          <t>Clothing</t>
        </is>
      </c>
      <c r="B16" t="inlineStr">
        <is>
          <t>Caps</t>
        </is>
      </c>
      <c r="C16" t="n">
        <v>1</v>
      </c>
      <c r="D16" s="7" t="n">
        <v>19688.1</v>
      </c>
      <c r="E16" s="7" t="n">
        <v>15159.837</v>
      </c>
      <c r="F16" s="7" t="n">
        <v>4528.263</v>
      </c>
      <c r="G16" s="8" t="n">
        <v>23</v>
      </c>
      <c r="H16" t="n">
        <v>2190</v>
      </c>
    </row>
    <row r="17">
      <c r="A17" t="inlineStr">
        <is>
          <t>Accessories</t>
        </is>
      </c>
      <c r="B17" t="inlineStr">
        <is>
          <t>Cleaners</t>
        </is>
      </c>
      <c r="C17" t="n">
        <v>1</v>
      </c>
      <c r="D17" s="7" t="n">
        <v>7218.6</v>
      </c>
      <c r="E17" s="7" t="n">
        <v>2699.7564</v>
      </c>
      <c r="F17" s="7" t="n">
        <v>4518.8436</v>
      </c>
      <c r="G17" s="8" t="n">
        <v>62.6</v>
      </c>
      <c r="H17" t="n">
        <v>908</v>
      </c>
    </row>
    <row r="18">
      <c r="A18" t="inlineStr">
        <is>
          <t>Clothing</t>
        </is>
      </c>
      <c r="B18" t="inlineStr">
        <is>
          <t>Socks</t>
        </is>
      </c>
      <c r="C18" t="n">
        <v>2</v>
      </c>
      <c r="D18" s="7" t="n">
        <v>5106.32</v>
      </c>
      <c r="E18" s="7" t="n">
        <v>1909.7864</v>
      </c>
      <c r="F18" s="7" t="n">
        <v>3196.5336</v>
      </c>
      <c r="G18" s="8" t="n">
        <v>62.6</v>
      </c>
      <c r="H18" t="n">
        <v>568</v>
      </c>
    </row>
  </sheetData>
  <autoFilter ref="A1:H18"/>
  <conditionalFormatting sqref="G2:G18">
    <cfRule type="colorScale" priority="1">
      <colorScale>
        <cfvo type="min"/>
        <cfvo type="percentile"/>
        <cfvo type="max"/>
        <color rgb="00FF0000"/>
        <color rgb="00FFFF00"/>
        <color rgb="0000FF00"/>
      </colorScale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22" customWidth="1" min="4" max="4"/>
    <col width="12" customWidth="1" min="5" max="5"/>
    <col width="19" customWidth="1" min="6" max="6"/>
    <col width="19" customWidth="1" min="7" max="7"/>
  </cols>
  <sheetData>
    <row r="1">
      <c r="A1" s="6" t="inlineStr">
        <is>
          <t>segment</t>
        </is>
      </c>
      <c r="B1" s="6" t="inlineStr">
        <is>
          <t>customers</t>
        </is>
      </c>
      <c r="C1" s="6" t="inlineStr">
        <is>
          <t>revenue</t>
        </is>
      </c>
      <c r="D1" s="6" t="inlineStr">
        <is>
          <t>avg_customer_revenue</t>
        </is>
      </c>
      <c r="E1" s="6" t="inlineStr">
        <is>
          <t>avg_orders</t>
        </is>
      </c>
      <c r="F1" s="6" t="inlineStr">
        <is>
          <t>oldest_last_order</t>
        </is>
      </c>
      <c r="G1" s="6" t="inlineStr">
        <is>
          <t>newest_last_order</t>
        </is>
      </c>
    </row>
    <row r="2">
      <c r="A2" t="inlineStr">
        <is>
          <t>At-Risk</t>
        </is>
      </c>
      <c r="B2" t="n">
        <v>6891</v>
      </c>
      <c r="C2" s="9" t="n">
        <v>11453549</v>
      </c>
      <c r="D2" s="9" t="n">
        <v>1662</v>
      </c>
      <c r="E2" s="8" t="n">
        <v>1.3</v>
      </c>
      <c r="F2" s="10" t="n">
        <v>40541</v>
      </c>
      <c r="G2" s="10" t="n">
        <v>41461</v>
      </c>
    </row>
    <row r="3">
      <c r="A3" t="inlineStr">
        <is>
          <t>Champions</t>
        </is>
      </c>
      <c r="B3" t="n">
        <v>1413</v>
      </c>
      <c r="C3" s="9" t="n">
        <v>7674834</v>
      </c>
      <c r="D3" s="9" t="n">
        <v>5432</v>
      </c>
      <c r="E3" s="8" t="n">
        <v>2.4</v>
      </c>
      <c r="F3" s="10" t="n">
        <v>41535</v>
      </c>
      <c r="G3" s="10" t="n">
        <v>41636</v>
      </c>
    </row>
    <row r="4">
      <c r="A4" t="inlineStr">
        <is>
          <t>Loyal High-Spend</t>
        </is>
      </c>
      <c r="B4" t="n">
        <v>761</v>
      </c>
      <c r="C4" s="9" t="n">
        <v>4267565</v>
      </c>
      <c r="D4" s="9" t="n">
        <v>5608</v>
      </c>
      <c r="E4" s="8" t="n">
        <v>2.4</v>
      </c>
      <c r="F4" s="10" t="n">
        <v>41462</v>
      </c>
      <c r="G4" s="10" t="n">
        <v>41534</v>
      </c>
    </row>
    <row r="5">
      <c r="A5" t="inlineStr">
        <is>
          <t>Recent High-Value</t>
        </is>
      </c>
      <c r="B5" t="n">
        <v>1479</v>
      </c>
      <c r="C5" s="9" t="n">
        <v>3154177</v>
      </c>
      <c r="D5" s="9" t="n">
        <v>2133</v>
      </c>
      <c r="E5" s="8" t="n">
        <v>1.6</v>
      </c>
      <c r="F5" s="10" t="n">
        <v>41535</v>
      </c>
      <c r="G5" s="10" t="n">
        <v>41667</v>
      </c>
    </row>
    <row r="6">
      <c r="A6" t="inlineStr">
        <is>
          <t>Regular</t>
        </is>
      </c>
      <c r="B6" t="n">
        <v>6829</v>
      </c>
      <c r="C6" s="9" t="n">
        <v>2641211</v>
      </c>
      <c r="D6" s="9" t="n">
        <v>387</v>
      </c>
      <c r="E6" s="8" t="n">
        <v>1.3</v>
      </c>
      <c r="F6" s="10" t="n">
        <v>41462</v>
      </c>
      <c r="G6" s="10" t="n">
        <v>41667</v>
      </c>
    </row>
    <row r="7">
      <c r="A7" t="inlineStr">
        <is>
          <t>Lost</t>
        </is>
      </c>
      <c r="B7" t="n">
        <v>503</v>
      </c>
      <c r="C7" s="9" t="n">
        <v>127790</v>
      </c>
      <c r="D7" s="9" t="n">
        <v>254</v>
      </c>
      <c r="E7" s="8" t="n">
        <v>1</v>
      </c>
      <c r="F7" s="10" t="n">
        <v>40570</v>
      </c>
      <c r="G7" s="10" t="n">
        <v>41462</v>
      </c>
    </row>
    <row r="8">
      <c r="A8" t="inlineStr">
        <is>
          <t>Frequent Low-Spend</t>
        </is>
      </c>
      <c r="B8" t="n">
        <v>608</v>
      </c>
      <c r="C8" s="9" t="n">
        <v>39552</v>
      </c>
      <c r="D8" s="9" t="n">
        <v>65</v>
      </c>
      <c r="E8" s="8" t="n">
        <v>2.1</v>
      </c>
      <c r="F8" s="10" t="n">
        <v>41462</v>
      </c>
      <c r="G8" s="10" t="n">
        <v>41667</v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</cols>
  <sheetData>
    <row r="1">
      <c r="A1" s="11" t="inlineStr">
        <is>
          <t>AdventureWorks Business Analysis — KPI Dashboard</t>
        </is>
      </c>
    </row>
    <row r="2"/>
    <row r="3">
      <c r="A3" s="12" t="inlineStr">
        <is>
          <t>Total Revenue</t>
        </is>
      </c>
      <c r="B3" s="13">
        <f>SUM('Monthly Data'!E2:E39)</f>
        <v/>
      </c>
    </row>
    <row r="4">
      <c r="A4" s="12" t="inlineStr">
        <is>
          <t>Distinct Orders</t>
        </is>
      </c>
      <c r="B4" s="14">
        <f>SUM('Monthly Data'!I2:I39)</f>
        <v/>
      </c>
    </row>
    <row r="5">
      <c r="A5" s="12" t="inlineStr">
        <is>
          <t>Units Sold</t>
        </is>
      </c>
      <c r="B5" s="14">
        <f>SUM('Monthly Data'!H2:H39)</f>
        <v/>
      </c>
    </row>
    <row r="6">
      <c r="A6" s="12" t="inlineStr">
        <is>
          <t>Average Order Value</t>
        </is>
      </c>
      <c r="B6" s="13">
        <f>B3/B4</f>
        <v/>
      </c>
    </row>
    <row r="7">
      <c r="A7" s="12" t="inlineStr">
        <is>
          <t>Gross Margin</t>
        </is>
      </c>
      <c r="B7" s="15">
        <f>SUM('Monthly Data'!G2:G39)/B3</f>
        <v/>
      </c>
    </row>
    <row r="8">
      <c r="A8" s="12" t="inlineStr">
        <is>
          <t>Top Revenue Category</t>
        </is>
      </c>
      <c r="B8" s="5">
        <f>INDEX('Margin by Subcategory'!A2:A18,MATCH(MAX('Margin by Subcategory'!D2:D18),'Margin by Subcategory'!D2:D18,0))</f>
        <v/>
      </c>
    </row>
    <row r="9">
      <c r="A9" s="12" t="inlineStr">
        <is>
          <t>Top Subcategory Revenue</t>
        </is>
      </c>
      <c r="B9" s="13">
        <f>MAX('Margin by Subcategory'!D2:D18)</f>
        <v/>
      </c>
    </row>
    <row r="10">
      <c r="A10" s="12" t="inlineStr">
        <is>
          <t>SKUs Sold</t>
        </is>
      </c>
      <c r="B10" s="14">
        <f>SUM('Margin by Subcategory'!C2:C18)</f>
        <v/>
      </c>
    </row>
    <row r="11"/>
    <row r="12">
      <c r="A12" s="1" t="inlineStr">
        <is>
          <t>Year</t>
        </is>
      </c>
      <c r="B12" s="1" t="inlineStr">
        <is>
          <t>Revenue</t>
        </is>
      </c>
      <c r="C12" s="1" t="inlineStr">
        <is>
          <t>YoY Growth</t>
        </is>
      </c>
    </row>
    <row r="13">
      <c r="A13" t="n">
        <v>2010</v>
      </c>
      <c r="B13" s="9">
        <f>SUMIF('Monthly Data'!$C$2:$C$39,A13,'Monthly Data'!$E$2:$E$39)</f>
        <v/>
      </c>
    </row>
    <row r="14">
      <c r="A14" t="n">
        <v>2011</v>
      </c>
      <c r="B14" s="9">
        <f>SUMIF('Monthly Data'!$C$2:$C$39,A14,'Monthly Data'!$E$2:$E$39)</f>
        <v/>
      </c>
      <c r="C14" s="16">
        <f>IFERROR(B14/B13-1,"")</f>
        <v/>
      </c>
    </row>
    <row r="15">
      <c r="A15" t="n">
        <v>2012</v>
      </c>
      <c r="B15" s="9">
        <f>SUMIF('Monthly Data'!$C$2:$C$39,A15,'Monthly Data'!$E$2:$E$39)</f>
        <v/>
      </c>
      <c r="C15" s="16">
        <f>IFERROR(B15/B14-1,"")</f>
        <v/>
      </c>
    </row>
    <row r="16">
      <c r="A16" t="n">
        <v>2013</v>
      </c>
      <c r="B16" s="9">
        <f>SUMIF('Monthly Data'!$C$2:$C$39,A16,'Monthly Data'!$E$2:$E$39)</f>
        <v/>
      </c>
      <c r="C16" s="16">
        <f>IFERROR(B16/B15-1,"")</f>
        <v/>
      </c>
    </row>
    <row r="17">
      <c r="A17" t="n">
        <v>2014</v>
      </c>
      <c r="B17" s="9">
        <f>SUMIF('Monthly Data'!$C$2:$C$39,A17,'Monthly Data'!$E$2:$E$39)</f>
        <v/>
      </c>
      <c r="C17" s="16">
        <f>IFERROR(B17/B16-1,"")</f>
        <v/>
      </c>
    </row>
    <row r="18"/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2026-09-02T15:49:40Z</dcterms:created>
  <dcterms:modified xsi:type="dcterms:W3CDTF">2026-09-02T18:31:33Z</dcterms:modified>
</cp:coreProperties>
</file>